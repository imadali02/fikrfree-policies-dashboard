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zzpak-my.sharepoint.com/personal/imaduddin_ali_jazz_com_pk/Documents/Desktop/Jazz/Dashboard/Dashboard/"/>
    </mc:Choice>
  </mc:AlternateContent>
  <xr:revisionPtr revIDLastSave="2" documentId="8_{C62DCEEF-422D-47FC-A543-B1D355E3CCE2}" xr6:coauthVersionLast="47" xr6:coauthVersionMax="47" xr10:uidLastSave="{C3F5A9C9-E8D3-4BBF-8A66-73635457AEE9}"/>
  <bookViews>
    <workbookView xWindow="-110" yWindow="-110" windowWidth="19420" windowHeight="11500" xr2:uid="{94495F05-D547-434D-962E-30169B390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<sst xmlns="http://schemas.openxmlformats.org/spreadsheetml/2006/main" count="7" uniqueCount="7">
  <si>
    <t xml:space="preserve">Total cost Breakdown </t>
  </si>
  <si>
    <t>DCB</t>
  </si>
  <si>
    <t>Bundling</t>
  </si>
  <si>
    <t>Marketing Cost</t>
  </si>
  <si>
    <t>Platform Cost</t>
  </si>
  <si>
    <t>Partner Digital Acqusition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</si>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</sst>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17" fontId="2" fillId="2" borderId="2" xfId="0" applyNumberFormat="1" applyFont="1" applyFill="1" applyBorder="1"/>
    <xf numFmtId="17" fontId="2" fillId="2" borderId="3" xfId="0" applyNumberFormat="1" applyFont="1" applyFill="1" applyBorder="1"/>
    <xf numFmtId="0" fontId="0" fillId="0" borderId="4" xfId="0" applyBorder="1"/>
    <xf numFmtId="3" fontId="0" fillId="0" borderId="5" xfId="0" applyNumberFormat="1" applyBorder="1"/>
    <xf numFmtId="3" fontId="0" fillId="0" borderId="5" xfId="1" applyNumberFormat="1" applyFont="1" applyBorder="1"/>
    <xf numFmtId="3" fontId="3" fillId="0" borderId="5" xfId="0" applyNumberFormat="1" applyFont="1" applyBorder="1"/>
    <xf numFmtId="3" fontId="0" fillId="0" borderId="6" xfId="0" applyNumberFormat="1" applyBorder="1"/>
    <xf numFmtId="41" fontId="0" fillId="0" borderId="5" xfId="0" applyNumberFormat="1" applyBorder="1"/>
    <xf numFmtId="41" fontId="3" fillId="0" borderId="5" xfId="0" applyNumberFormat="1" applyFont="1" applyBorder="1" applyAlignment="1">
      <alignment horizontal="center"/>
    </xf>
    <xf numFmtId="41" fontId="0" fillId="0" borderId="6" xfId="1" applyFont="1" applyBorder="1"/>
    <xf numFmtId="0" fontId="0" fillId="0" borderId="7" xfId="0" applyBorder="1"/>
    <xf numFmtId="0" fontId="2" fillId="0" borderId="8" xfId="0" applyFont="1" applyBorder="1"/>
    <xf numFmtId="3" fontId="2" fillId="0" borderId="9" xfId="0" applyNumberFormat="1" applyFont="1" applyBorder="1"/>
    <xf numFmtId="3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AAAA-F5C6-4299-81AF-4DB099933056}">
  <dimension ref="A1:N7"/>
  <sheetViews>
    <sheetView tabSelected="1" zoomScale="93" workbookViewId="0">
      <selection activeCell="N7" sqref="N7"/>
    </sheetView>
  </sheetViews>
  <sheetFormatPr defaultRowHeight="14.5" x14ac:dyDescent="0.35"/>
  <cols>
    <col min="1" max="1" width="25.81640625" bestFit="1" customWidth="1"/>
    <col min="2" max="10" width="11.7265625" bestFit="1" customWidth="1"/>
    <col min="11" max="12" width="11.90625" bestFit="1" customWidth="1"/>
    <col min="13" max="13" width="11.7265625" bestFit="1" customWidth="1"/>
    <col min="14" max="14" width="13.81640625" customWidth="1"/>
  </cols>
  <sheetData>
    <row r="1" spans="1:14" ht="16" x14ac:dyDescent="0.4">
      <c r="A1" s="1" t="s">
        <v>0</v>
      </c>
      <c r="B1" s="2">
        <v>45658</v>
      </c>
      <c r="C1" s="2">
        <v>45689</v>
      </c>
      <c r="D1" s="2">
        <v>45717</v>
      </c>
      <c r="E1" s="2">
        <v>45748</v>
      </c>
      <c r="F1" s="2">
        <v>45778</v>
      </c>
      <c r="G1" s="2">
        <v>45809</v>
      </c>
      <c r="H1" s="2">
        <v>45839</v>
      </c>
      <c r="I1" s="2">
        <v>45870</v>
      </c>
      <c r="J1" s="2">
        <v>45901</v>
      </c>
      <c r="K1" s="2">
        <v>45931</v>
      </c>
      <c r="L1" s="2">
        <v>45962</v>
      </c>
      <c r="M1" s="3">
        <v>45992</v>
      </c>
    </row>
    <row r="2" spans="1:14" ht="16" x14ac:dyDescent="0.4">
      <c r="A2" s="4" t="s">
        <v>1</v>
      </c>
      <c r="B2" s="5">
        <v>85232710.200000003</v>
      </c>
      <c r="C2" s="5">
        <v>76836024</v>
      </c>
      <c r="D2" s="5">
        <v>96697942.799999997</v>
      </c>
      <c r="E2" s="5">
        <v>92099566.799999997</v>
      </c>
      <c r="F2" s="5">
        <v>89773101</v>
      </c>
      <c r="G2" s="5">
        <v>86478044.399999991</v>
      </c>
      <c r="H2" s="5">
        <v>86989841.899999991</v>
      </c>
      <c r="I2" s="5">
        <v>99552974.219999999</v>
      </c>
      <c r="J2" s="6">
        <v>104981526.09999999</v>
      </c>
      <c r="K2" s="7">
        <v>112405758</v>
      </c>
      <c r="L2" s="7">
        <v>104358039</v>
      </c>
      <c r="M2" s="8">
        <v>107442758.88000001</v>
      </c>
    </row>
    <row r="3" spans="1:14" ht="16" x14ac:dyDescent="0.4">
      <c r="A3" s="4" t="s">
        <v>2</v>
      </c>
      <c r="B3" s="5">
        <v>20420186.590996921</v>
      </c>
      <c r="C3" s="5">
        <v>19960611.347568985</v>
      </c>
      <c r="D3" s="5">
        <v>22511104.117761135</v>
      </c>
      <c r="E3" s="5">
        <v>21571705.665186927</v>
      </c>
      <c r="F3" s="5">
        <v>23636982.321148399</v>
      </c>
      <c r="G3" s="5">
        <v>24098373.113435678</v>
      </c>
      <c r="H3" s="5">
        <v>25667845.83536385</v>
      </c>
      <c r="I3" s="5">
        <v>42398119.247746944</v>
      </c>
      <c r="J3" s="6">
        <v>43353425</v>
      </c>
      <c r="K3" s="7">
        <v>42717061</v>
      </c>
      <c r="L3" s="7">
        <v>47563630</v>
      </c>
      <c r="M3" s="8">
        <v>41487445</v>
      </c>
    </row>
    <row r="4" spans="1:14" ht="16" x14ac:dyDescent="0.4">
      <c r="A4" s="4" t="s">
        <v>3</v>
      </c>
      <c r="B4" s="5">
        <v>2695532</v>
      </c>
      <c r="C4" s="5">
        <v>37752265</v>
      </c>
      <c r="D4" s="5">
        <v>15077432</v>
      </c>
      <c r="E4" s="5">
        <v>7694764</v>
      </c>
      <c r="F4" s="5">
        <v>8978350</v>
      </c>
      <c r="G4" s="5">
        <v>9168040</v>
      </c>
      <c r="H4" s="5">
        <v>2775415</v>
      </c>
      <c r="I4" s="9">
        <v>3000000</v>
      </c>
      <c r="J4" s="9">
        <v>11730037</v>
      </c>
      <c r="K4" s="10">
        <v>18331374</v>
      </c>
      <c r="L4" s="10">
        <v>21116551</v>
      </c>
      <c r="M4" s="11">
        <v>47085311</v>
      </c>
    </row>
    <row r="5" spans="1:14" ht="16" x14ac:dyDescent="0.4">
      <c r="A5" s="4" t="s">
        <v>4</v>
      </c>
      <c r="B5" s="5">
        <v>246128.88</v>
      </c>
      <c r="C5" s="5">
        <v>233676.6</v>
      </c>
      <c r="D5" s="5">
        <v>322613.13</v>
      </c>
      <c r="E5" s="5">
        <v>215679.99600000001</v>
      </c>
      <c r="F5" s="5">
        <v>241804.5</v>
      </c>
      <c r="G5" s="5">
        <v>226670.04</v>
      </c>
      <c r="H5" s="5">
        <v>218022.41999999998</v>
      </c>
      <c r="I5" s="5">
        <v>212654.80290000001</v>
      </c>
      <c r="J5" s="5">
        <v>204985</v>
      </c>
      <c r="K5" s="7">
        <v>181849</v>
      </c>
      <c r="L5" s="7">
        <v>293485</v>
      </c>
      <c r="M5" s="8">
        <v>427077</v>
      </c>
    </row>
    <row r="6" spans="1:14" ht="16" x14ac:dyDescent="0.4">
      <c r="A6" s="12" t="s">
        <v>5</v>
      </c>
      <c r="B6" s="5">
        <v>1062131</v>
      </c>
      <c r="C6" s="5">
        <v>1251162</v>
      </c>
      <c r="D6" s="5">
        <v>1978660</v>
      </c>
      <c r="E6" s="5">
        <v>1939919</v>
      </c>
      <c r="F6" s="5">
        <v>2272085</v>
      </c>
      <c r="G6" s="5">
        <v>2744971</v>
      </c>
      <c r="H6" s="5">
        <v>3390826</v>
      </c>
      <c r="I6" s="5">
        <v>4567073</v>
      </c>
      <c r="J6" s="5">
        <v>5662681</v>
      </c>
      <c r="K6" s="7">
        <v>6507750</v>
      </c>
      <c r="L6" s="7">
        <v>5793959</v>
      </c>
      <c r="M6" s="8">
        <v>6081252</v>
      </c>
    </row>
    <row r="7" spans="1:14" ht="16.5" thickBot="1" x14ac:dyDescent="0.45">
      <c r="A7" s="13" t="s">
        <v>6</v>
      </c>
      <c r="B7" s="14">
        <f>SUM(B2:B6)</f>
        <v>109656688.67099692</v>
      </c>
      <c r="C7" s="14">
        <f t="shared" ref="C7:M7" si="0">SUM(C2:C6)</f>
        <v>136033738.94756898</v>
      </c>
      <c r="D7" s="14">
        <f t="shared" si="0"/>
        <v>136587752.04776114</v>
      </c>
      <c r="E7" s="14">
        <f t="shared" si="0"/>
        <v>123521635.46118693</v>
      </c>
      <c r="F7" s="14">
        <f t="shared" si="0"/>
        <v>124902322.8211484</v>
      </c>
      <c r="G7" s="14">
        <f t="shared" si="0"/>
        <v>122716098.55343567</v>
      </c>
      <c r="H7" s="14">
        <f t="shared" si="0"/>
        <v>119041951.15536384</v>
      </c>
      <c r="I7" s="14">
        <f t="shared" si="0"/>
        <v>149730821.27064693</v>
      </c>
      <c r="J7" s="14">
        <f t="shared" si="0"/>
        <v>165932654.09999999</v>
      </c>
      <c r="K7" s="14">
        <f t="shared" si="0"/>
        <v>180143792</v>
      </c>
      <c r="L7" s="14">
        <f t="shared" si="0"/>
        <v>179125664</v>
      </c>
      <c r="M7" s="14">
        <f t="shared" si="0"/>
        <v>202523843.88</v>
      </c>
      <c r="N7" s="15">
        <f>SUM(B7:M7)</f>
        <v>1749916962.9081087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Imaduddin Ali/CONSUMER/ISB</dc:creator>
  <cp:lastModifiedBy>Imaduddin Ali/CONSUMER/ISB</cp:lastModifiedBy>
  <dcterms:created xsi:type="dcterms:W3CDTF">2026-01-13T11:37:56Z</dcterms:created>
  <dcterms:modified xsi:type="dcterms:W3CDTF">2026-01-13T11:51:18Z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86e226-cfd0-4c2d-b2ff-bd9be0eaa4b4_Enabled">
    <vt:lpwstr>true</vt:lpwstr>
  </property>
  <property fmtid="{D5CDD505-2E9C-101B-9397-08002B2CF9AE}" pid="3" name="MSIP_Label_0886e226-cfd0-4c2d-b2ff-bd9be0eaa4b4_SetDate">
    <vt:lpwstr>2026-01-13T11:38:14Z</vt:lpwstr>
  </property>
  <property fmtid="{D5CDD505-2E9C-101B-9397-08002B2CF9AE}" pid="4" name="MSIP_Label_0886e226-cfd0-4c2d-b2ff-bd9be0eaa4b4_Method">
    <vt:lpwstr>Standard</vt:lpwstr>
  </property>
  <property fmtid="{D5CDD505-2E9C-101B-9397-08002B2CF9AE}" pid="5" name="MSIP_Label_0886e226-cfd0-4c2d-b2ff-bd9be0eaa4b4_Name">
    <vt:lpwstr>Internal</vt:lpwstr>
  </property>
  <property fmtid="{D5CDD505-2E9C-101B-9397-08002B2CF9AE}" pid="6" name="MSIP_Label_0886e226-cfd0-4c2d-b2ff-bd9be0eaa4b4_SiteId">
    <vt:lpwstr>5764b349-a60c-4df1-8cf5-62d06dd5b2c3</vt:lpwstr>
  </property>
  <property fmtid="{D5CDD505-2E9C-101B-9397-08002B2CF9AE}" pid="7" name="MSIP_Label_0886e226-cfd0-4c2d-b2ff-bd9be0eaa4b4_ActionId">
    <vt:lpwstr>83d1f81c-797b-4c08-a010-2b9c5e1d804b</vt:lpwstr>
  </property>
  <property fmtid="{D5CDD505-2E9C-101B-9397-08002B2CF9AE}" pid="8" name="MSIP_Label_0886e226-cfd0-4c2d-b2ff-bd9be0eaa4b4_ContentBits">
    <vt:lpwstr>0</vt:lpwstr>
  </property>
  <property fmtid="{D5CDD505-2E9C-101B-9397-08002B2CF9AE}" pid="9" name="MSIP_Label_0886e226-cfd0-4c2d-b2ff-bd9be0eaa4b4_Tag">
    <vt:lpwstr>10, 3, 0, 1</vt:lpwstr>
  </property>
</Properties>
</file>